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<sst xmlns="http://schemas.openxmlformats.org/spreadsheetml/2006/main" count="122" uniqueCount="88">
  <si>
    <t>AT32F403ARGT7_WorkBench</t>
  </si>
  <si>
    <t>at32_usart.o</t>
  </si>
  <si>
    <t>pc_comm_handle.o</t>
  </si>
  <si>
    <t>eventrecorder.o</t>
  </si>
  <si>
    <t>startup_at32f403a_407.o</t>
  </si>
  <si>
    <t>adc_filter.o</t>
  </si>
  <si>
    <t>key_handle.o</t>
  </si>
  <si>
    <t>tmt.o</t>
  </si>
  <si>
    <t>ps305d_handle.o</t>
  </si>
  <si>
    <t>pid_handle.o</t>
  </si>
  <si>
    <t>encoderec11.o</t>
  </si>
  <si>
    <t>perf_counter.o</t>
  </si>
  <si>
    <t>lcd_handle.o</t>
  </si>
  <si>
    <t>flash_handle.o</t>
  </si>
  <si>
    <t>work_handle.o</t>
  </si>
  <si>
    <t>output_handle.o</t>
  </si>
  <si>
    <t>collect_data_handle.o</t>
  </si>
  <si>
    <t>ec11_handle.o</t>
  </si>
  <si>
    <t>beep.o</t>
  </si>
  <si>
    <t>at32f403a_407_int.o</t>
  </si>
  <si>
    <t>wk_system.o</t>
  </si>
  <si>
    <t>system_at32f403a_407.o</t>
  </si>
  <si>
    <t>beep_handle.o</t>
  </si>
  <si>
    <t>main.o</t>
  </si>
  <si>
    <t>key.o</t>
  </si>
  <si>
    <t>iap.o</t>
  </si>
  <si>
    <t>at32f403a_407_crm.o</t>
  </si>
  <si>
    <t>at32f403a_407_flash.o</t>
  </si>
  <si>
    <t>at32f403a_407_tmr.o</t>
  </si>
  <si>
    <t>mf_w.l</t>
  </si>
  <si>
    <t>tm1680.o</t>
  </si>
  <si>
    <t>at32f403a_407_adc.o</t>
  </si>
  <si>
    <t>at32f403a_407_usart.o</t>
  </si>
  <si>
    <t>at32f403a_407_dma.o</t>
  </si>
  <si>
    <t>at32f403a_407_wk_config.o</t>
  </si>
  <si>
    <t>at32f403a_407_gpio.o</t>
  </si>
  <si>
    <t>mc_w.l</t>
  </si>
  <si>
    <t>wk_adc.o</t>
  </si>
  <si>
    <t>at32f403a_407_misc.o</t>
  </si>
  <si>
    <t>wk_gpio.o</t>
  </si>
  <si>
    <t>at32f403a_407_dac.o</t>
  </si>
  <si>
    <t>dadd.o</t>
  </si>
  <si>
    <t>wk_tmr.o</t>
  </si>
  <si>
    <t>util_queue.o</t>
  </si>
  <si>
    <t>at32f403a_407_crc.o</t>
  </si>
  <si>
    <t>perfc_port_default.o</t>
  </si>
  <si>
    <t>dmul.o</t>
  </si>
  <si>
    <t>ddiv.o</t>
  </si>
  <si>
    <t>wk_usart.o</t>
  </si>
  <si>
    <t>depilogue.o</t>
  </si>
  <si>
    <t>wk_dac.o</t>
  </si>
  <si>
    <t>wk_dma.o</t>
  </si>
  <si>
    <t>at32f403a_407_wdt.o</t>
  </si>
  <si>
    <t>fepilogue.o</t>
  </si>
  <si>
    <t>uldiv.o</t>
  </si>
  <si>
    <t>ldiv.o</t>
  </si>
  <si>
    <t>__dczerorl2.o</t>
  </si>
  <si>
    <t>dfixi.o</t>
  </si>
  <si>
    <t>d2f.o</t>
  </si>
  <si>
    <t>wk_crc.o</t>
  </si>
  <si>
    <t>flash.o</t>
  </si>
  <si>
    <t>init.o</t>
  </si>
  <si>
    <t>cpp_init.o</t>
  </si>
  <si>
    <t>f2d.o</t>
  </si>
  <si>
    <t>memseta.o</t>
  </si>
  <si>
    <t>llsshr.o</t>
  </si>
  <si>
    <t>dflti.o</t>
  </si>
  <si>
    <t>llushr.o</t>
  </si>
  <si>
    <t>llshl.o</t>
  </si>
  <si>
    <t>handlers.o</t>
  </si>
  <si>
    <t>wk_wdt.o</t>
  </si>
  <si>
    <t>systick_wrapper_gnu.o</t>
  </si>
  <si>
    <t>dfltui.o</t>
  </si>
  <si>
    <t>wk_debug.o</t>
  </si>
  <si>
    <t>entry9a.o</t>
  </si>
  <si>
    <t>entry2.o</t>
  </si>
  <si>
    <t>entry8a.o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</si>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</sst>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ram_percent!$A$3:$A$80</c:f>
              <c:strCache>
                <c:ptCount val="78"/>
                <c:pt idx="0">
                  <c:v>at32_usart.o</c:v>
                </c:pt>
                <c:pt idx="1">
                  <c:v>pc_comm_handle.o</c:v>
                </c:pt>
                <c:pt idx="2">
                  <c:v>eventrecorder.o</c:v>
                </c:pt>
                <c:pt idx="3">
                  <c:v>startup_at32f403a_407.o</c:v>
                </c:pt>
                <c:pt idx="4">
                  <c:v>adc_filter.o</c:v>
                </c:pt>
                <c:pt idx="5">
                  <c:v>key_handle.o</c:v>
                </c:pt>
                <c:pt idx="6">
                  <c:v>tmt.o</c:v>
                </c:pt>
                <c:pt idx="7">
                  <c:v>ps305d_handle.o</c:v>
                </c:pt>
                <c:pt idx="8">
                  <c:v>pid_handle.o</c:v>
                </c:pt>
                <c:pt idx="9">
                  <c:v>encoderec11.o</c:v>
                </c:pt>
                <c:pt idx="10">
                  <c:v>perf_counter.o</c:v>
                </c:pt>
                <c:pt idx="11">
                  <c:v>lcd_handle.o</c:v>
                </c:pt>
                <c:pt idx="12">
                  <c:v>flash_handle.o</c:v>
                </c:pt>
                <c:pt idx="13">
                  <c:v>work_handle.o</c:v>
                </c:pt>
                <c:pt idx="14">
                  <c:v>output_handle.o</c:v>
                </c:pt>
                <c:pt idx="15">
                  <c:v>collect_data_handle.o</c:v>
                </c:pt>
                <c:pt idx="16">
                  <c:v>ec11_handle.o</c:v>
                </c:pt>
                <c:pt idx="17">
                  <c:v>beep.o</c:v>
                </c:pt>
                <c:pt idx="18">
                  <c:v>at32f403a_407_int.o</c:v>
                </c:pt>
                <c:pt idx="19">
                  <c:v>wk_system.o</c:v>
                </c:pt>
                <c:pt idx="20">
                  <c:v>system_at32f403a_407.o</c:v>
                </c:pt>
                <c:pt idx="21">
                  <c:v>beep_handle.o</c:v>
                </c:pt>
                <c:pt idx="22">
                  <c:v>main.o</c:v>
                </c:pt>
                <c:pt idx="23">
                  <c:v>key.o</c:v>
                </c:pt>
                <c:pt idx="24">
                  <c:v>iap.o</c:v>
                </c:pt>
                <c:pt idx="77">
                  <c:v>Totals</c:v>
                </c:pt>
              </c:strCache>
            </c:strRef>
          </c:cat>
          <c:val>
            <c:numRef>
              <c:f>ram_percent!$B$3:$B$80</c:f>
              <c:numCache>
                <c:formatCode>General</c:formatCode>
                <c:ptCount val="78"/>
                <c:pt idx="0">
                  <c:v>30.05125427246094</c:v>
                </c:pt>
                <c:pt idx="1">
                  <c:v>20.86592864990234</c:v>
                </c:pt>
                <c:pt idx="2">
                  <c:v>16.02373886108398</c:v>
                </c:pt>
                <c:pt idx="3">
                  <c:v>13.81170749664307</c:v>
                </c:pt>
                <c:pt idx="4">
                  <c:v>4.316158771514893</c:v>
                </c:pt>
                <c:pt idx="5">
                  <c:v>2.616671085357666</c:v>
                </c:pt>
                <c:pt idx="6">
                  <c:v>2.481791257858276</c:v>
                </c:pt>
                <c:pt idx="7">
                  <c:v>2.104127407073975</c:v>
                </c:pt>
                <c:pt idx="8">
                  <c:v>1.726463437080383</c:v>
                </c:pt>
                <c:pt idx="9">
                  <c:v>1.551119446754456</c:v>
                </c:pt>
                <c:pt idx="10">
                  <c:v>1.025087714195252</c:v>
                </c:pt>
                <c:pt idx="11">
                  <c:v>0.9441596865653992</c:v>
                </c:pt>
                <c:pt idx="12">
                  <c:v>0.7823037505149841</c:v>
                </c:pt>
                <c:pt idx="13">
                  <c:v>0.3371998965740204</c:v>
                </c:pt>
                <c:pt idx="14">
                  <c:v>0.2967359125614166</c:v>
                </c:pt>
                <c:pt idx="15">
                  <c:v>0.2697599232196808</c:v>
                </c:pt>
                <c:pt idx="16">
                  <c:v>0.2292959243059158</c:v>
                </c:pt>
                <c:pt idx="17">
                  <c:v>0.2292959243059158</c:v>
                </c:pt>
                <c:pt idx="18">
                  <c:v>0.1483679562807083</c:v>
                </c:pt>
                <c:pt idx="19">
                  <c:v>0.05395198240876198</c:v>
                </c:pt>
                <c:pt idx="20">
                  <c:v>0.05395198240876198</c:v>
                </c:pt>
                <c:pt idx="21">
                  <c:v>0.04046398773789406</c:v>
                </c:pt>
                <c:pt idx="22">
                  <c:v>0.0134879956021905</c:v>
                </c:pt>
                <c:pt idx="23">
                  <c:v>0.0134879956021905</c:v>
                </c:pt>
                <c:pt idx="24">
                  <c:v>0.0134879956021905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flash_percent!$A$3:$A$80</c:f>
              <c:strCache>
                <c:ptCount val="78"/>
                <c:pt idx="0">
                  <c:v>lcd_handle.o</c:v>
                </c:pt>
                <c:pt idx="1">
                  <c:v>flash_handle.o</c:v>
                </c:pt>
                <c:pt idx="2">
                  <c:v>key_handle.o</c:v>
                </c:pt>
                <c:pt idx="3">
                  <c:v>work_handle.o</c:v>
                </c:pt>
                <c:pt idx="4">
                  <c:v>ec11_handle.o</c:v>
                </c:pt>
                <c:pt idx="5">
                  <c:v>eventrecorder.o</c:v>
                </c:pt>
                <c:pt idx="6">
                  <c:v>at32f403a_407_crm.o</c:v>
                </c:pt>
                <c:pt idx="7">
                  <c:v>encoderec11.o</c:v>
                </c:pt>
                <c:pt idx="8">
                  <c:v>at32f403a_407_flash.o</c:v>
                </c:pt>
                <c:pt idx="9">
                  <c:v>at32f403a_407_tmr.o</c:v>
                </c:pt>
                <c:pt idx="10">
                  <c:v>mf_w.l</c:v>
                </c:pt>
                <c:pt idx="11">
                  <c:v>collect_data_handle.o</c:v>
                </c:pt>
                <c:pt idx="12">
                  <c:v>perf_counter.o</c:v>
                </c:pt>
                <c:pt idx="13">
                  <c:v>tmt.o</c:v>
                </c:pt>
                <c:pt idx="14">
                  <c:v>at32_usart.o</c:v>
                </c:pt>
                <c:pt idx="15">
                  <c:v>tm1680.o</c:v>
                </c:pt>
                <c:pt idx="16">
                  <c:v>output_handle.o</c:v>
                </c:pt>
                <c:pt idx="17">
                  <c:v>at32f403a_407_adc.o</c:v>
                </c:pt>
                <c:pt idx="18">
                  <c:v>adc_filter.o</c:v>
                </c:pt>
                <c:pt idx="19">
                  <c:v>at32f403a_407_usart.o</c:v>
                </c:pt>
                <c:pt idx="20">
                  <c:v>main.o</c:v>
                </c:pt>
                <c:pt idx="21">
                  <c:v>at32f403a_407_dma.o</c:v>
                </c:pt>
                <c:pt idx="22">
                  <c:v>at32f403a_407_wk_config.o</c:v>
                </c:pt>
                <c:pt idx="23">
                  <c:v>pc_comm_handle.o</c:v>
                </c:pt>
                <c:pt idx="24">
                  <c:v>system_at32f403a_407.o</c:v>
                </c:pt>
                <c:pt idx="25">
                  <c:v>at32f403a_407_gpio.o</c:v>
                </c:pt>
                <c:pt idx="26">
                  <c:v>mc_w.l</c:v>
                </c:pt>
                <c:pt idx="27">
                  <c:v>wk_adc.o</c:v>
                </c:pt>
                <c:pt idx="28">
                  <c:v>at32f403a_407_misc.o</c:v>
                </c:pt>
                <c:pt idx="29">
                  <c:v>startup_at32f403a_407.o</c:v>
                </c:pt>
                <c:pt idx="30">
                  <c:v>wk_gpio.o</c:v>
                </c:pt>
                <c:pt idx="31">
                  <c:v>ps305d_handle.o</c:v>
                </c:pt>
                <c:pt idx="32">
                  <c:v>at32f403a_407_dac.o</c:v>
                </c:pt>
                <c:pt idx="33">
                  <c:v>dadd.o</c:v>
                </c:pt>
                <c:pt idx="34">
                  <c:v>beep.o</c:v>
                </c:pt>
                <c:pt idx="35">
                  <c:v>wk_tmr.o</c:v>
                </c:pt>
                <c:pt idx="36">
                  <c:v>at32f403a_407_int.o</c:v>
                </c:pt>
                <c:pt idx="37">
                  <c:v>util_queue.o</c:v>
                </c:pt>
                <c:pt idx="38">
                  <c:v>beep_handle.o</c:v>
                </c:pt>
                <c:pt idx="39">
                  <c:v>key.o</c:v>
                </c:pt>
                <c:pt idx="40">
                  <c:v>at32f403a_407_crc.o</c:v>
                </c:pt>
                <c:pt idx="41">
                  <c:v>perfc_port_default.o</c:v>
                </c:pt>
                <c:pt idx="42">
                  <c:v>dmul.o</c:v>
                </c:pt>
                <c:pt idx="43">
                  <c:v>ddiv.o</c:v>
                </c:pt>
                <c:pt idx="44">
                  <c:v>wk_usart.o</c:v>
                </c:pt>
                <c:pt idx="45">
                  <c:v>depilogue.o</c:v>
                </c:pt>
                <c:pt idx="46">
                  <c:v>wk_dac.o</c:v>
                </c:pt>
                <c:pt idx="47">
                  <c:v>wk_dma.o</c:v>
                </c:pt>
                <c:pt idx="48">
                  <c:v>at32f403a_407_wdt.o</c:v>
                </c:pt>
                <c:pt idx="49">
                  <c:v>iap.o</c:v>
                </c:pt>
                <c:pt idx="50">
                  <c:v>wk_system.o</c:v>
                </c:pt>
                <c:pt idx="51">
                  <c:v>fepilogue.o</c:v>
                </c:pt>
                <c:pt idx="52">
                  <c:v>uldiv.o</c:v>
                </c:pt>
                <c:pt idx="53">
                  <c:v>ldiv.o</c:v>
                </c:pt>
                <c:pt idx="54">
                  <c:v>__dczerorl2.o</c:v>
                </c:pt>
                <c:pt idx="55">
                  <c:v>pid_handle.o</c:v>
                </c:pt>
                <c:pt idx="56">
                  <c:v>dfixi.o</c:v>
                </c:pt>
                <c:pt idx="57">
                  <c:v>d2f.o</c:v>
                </c:pt>
                <c:pt idx="58">
                  <c:v>wk_crc.o</c:v>
                </c:pt>
                <c:pt idx="59">
                  <c:v>flash.o</c:v>
                </c:pt>
                <c:pt idx="60">
                  <c:v>init.o</c:v>
                </c:pt>
                <c:pt idx="61">
                  <c:v>cpp_init.o</c:v>
                </c:pt>
                <c:pt idx="62">
                  <c:v>f2d.o</c:v>
                </c:pt>
                <c:pt idx="63">
                  <c:v>memseta.o</c:v>
                </c:pt>
                <c:pt idx="64">
                  <c:v>llsshr.o</c:v>
                </c:pt>
                <c:pt idx="65">
                  <c:v>dflti.o</c:v>
                </c:pt>
                <c:pt idx="66">
                  <c:v>llushr.o</c:v>
                </c:pt>
                <c:pt idx="67">
                  <c:v>llshl.o</c:v>
                </c:pt>
                <c:pt idx="68">
                  <c:v>handlers.o</c:v>
                </c:pt>
                <c:pt idx="69">
                  <c:v>wk_wdt.o</c:v>
                </c:pt>
                <c:pt idx="70">
                  <c:v>systick_wrapper_gnu.o</c:v>
                </c:pt>
                <c:pt idx="71">
                  <c:v>dfltui.o</c:v>
                </c:pt>
                <c:pt idx="72">
                  <c:v>wk_debug.o</c:v>
                </c:pt>
                <c:pt idx="73">
                  <c:v>entry9a.o</c:v>
                </c:pt>
                <c:pt idx="74">
                  <c:v>entry2.o</c:v>
                </c:pt>
                <c:pt idx="75">
                  <c:v>entry8a.o</c:v>
                </c:pt>
                <c:pt idx="76">
                  <c:v>entry5.o</c:v>
                </c:pt>
                <c:pt idx="77">
                  <c:v>Totals</c:v>
                </c:pt>
              </c:strCache>
            </c:strRef>
          </c:cat>
          <c:val>
            <c:numRef>
              <c:f>flash_percent!$B$3:$B$80</c:f>
              <c:numCache>
                <c:formatCode>General</c:formatCode>
                <c:ptCount val="78"/>
                <c:pt idx="0">
                  <c:v>11.63311386108398</c:v>
                </c:pt>
                <c:pt idx="1">
                  <c:v>9.806564331054688</c:v>
                </c:pt>
                <c:pt idx="2">
                  <c:v>6.114071369171143</c:v>
                </c:pt>
                <c:pt idx="3">
                  <c:v>5.067070484161377</c:v>
                </c:pt>
                <c:pt idx="4">
                  <c:v>4.639976978302002</c:v>
                </c:pt>
                <c:pt idx="5">
                  <c:v>3.441627025604248</c:v>
                </c:pt>
                <c:pt idx="6">
                  <c:v>3.242593288421631</c:v>
                </c:pt>
                <c:pt idx="7">
                  <c:v>3.072585105895996</c:v>
                </c:pt>
                <c:pt idx="8">
                  <c:v>2.989654302597046</c:v>
                </c:pt>
                <c:pt idx="9">
                  <c:v>2.707689762115479</c:v>
                </c:pt>
                <c:pt idx="10">
                  <c:v>2.686957120895386</c:v>
                </c:pt>
                <c:pt idx="11">
                  <c:v>2.595733165740967</c:v>
                </c:pt>
                <c:pt idx="12">
                  <c:v>2.554267883300781</c:v>
                </c:pt>
                <c:pt idx="13">
                  <c:v>2.334501266479492</c:v>
                </c:pt>
                <c:pt idx="14">
                  <c:v>2.243277311325073</c:v>
                </c:pt>
                <c:pt idx="15">
                  <c:v>2.118881225585938</c:v>
                </c:pt>
                <c:pt idx="16">
                  <c:v>2.035950422286987</c:v>
                </c:pt>
                <c:pt idx="17">
                  <c:v>1.961312770843506</c:v>
                </c:pt>
                <c:pt idx="18">
                  <c:v>1.870088934898377</c:v>
                </c:pt>
                <c:pt idx="19">
                  <c:v>1.662762045860291</c:v>
                </c:pt>
                <c:pt idx="20">
                  <c:v>1.525926232337952</c:v>
                </c:pt>
                <c:pt idx="21">
                  <c:v>1.501047015190125</c:v>
                </c:pt>
                <c:pt idx="22">
                  <c:v>1.488607406616211</c:v>
                </c:pt>
                <c:pt idx="23">
                  <c:v>1.264694333076477</c:v>
                </c:pt>
                <c:pt idx="24">
                  <c:v>1.248108148574829</c:v>
                </c:pt>
                <c:pt idx="25">
                  <c:v>1.248108148574829</c:v>
                </c:pt>
                <c:pt idx="26">
                  <c:v>1.1568843126297</c:v>
                </c:pt>
                <c:pt idx="27">
                  <c:v>1.078100085258484</c:v>
                </c:pt>
                <c:pt idx="28">
                  <c:v>1.044927716255188</c:v>
                </c:pt>
                <c:pt idx="29">
                  <c:v>0.8790662288665772</c:v>
                </c:pt>
                <c:pt idx="30">
                  <c:v>0.8251612186431885</c:v>
                </c:pt>
                <c:pt idx="31">
                  <c:v>0.7339373230934143</c:v>
                </c:pt>
                <c:pt idx="32">
                  <c:v>0.7049115896224976</c:v>
                </c:pt>
                <c:pt idx="33">
                  <c:v>0.692471981048584</c:v>
                </c:pt>
                <c:pt idx="34">
                  <c:v>0.6489332914352417</c:v>
                </c:pt>
                <c:pt idx="35">
                  <c:v>0.6302738785743713</c:v>
                </c:pt>
                <c:pt idx="36">
                  <c:v>0.6053946614265442</c:v>
                </c:pt>
                <c:pt idx="37">
                  <c:v>0.580515444278717</c:v>
                </c:pt>
                <c:pt idx="38">
                  <c:v>0.5618559718132019</c:v>
                </c:pt>
                <c:pt idx="39">
                  <c:v>0.5203906297683716</c:v>
                </c:pt>
                <c:pt idx="40">
                  <c:v>0.4934380948543549</c:v>
                </c:pt>
                <c:pt idx="41">
                  <c:v>0.4768519401550293</c:v>
                </c:pt>
                <c:pt idx="42">
                  <c:v>0.4727054238319397</c:v>
                </c:pt>
                <c:pt idx="43">
                  <c:v>0.4602657854557037</c:v>
                </c:pt>
                <c:pt idx="44">
                  <c:v>0.4105073213577271</c:v>
                </c:pt>
                <c:pt idx="45">
                  <c:v>0.3856281042098999</c:v>
                </c:pt>
                <c:pt idx="46">
                  <c:v>0.2778180837631226</c:v>
                </c:pt>
                <c:pt idx="47">
                  <c:v>0.2529388666152954</c:v>
                </c:pt>
                <c:pt idx="48">
                  <c:v>0.2446457892656326</c:v>
                </c:pt>
                <c:pt idx="49">
                  <c:v>0.2404992431402206</c:v>
                </c:pt>
                <c:pt idx="50">
                  <c:v>0.2363527119159699</c:v>
                </c:pt>
                <c:pt idx="51">
                  <c:v>0.2280596345663071</c:v>
                </c:pt>
                <c:pt idx="52">
                  <c:v>0.2031804025173187</c:v>
                </c:pt>
                <c:pt idx="53">
                  <c:v>0.2031804025173187</c:v>
                </c:pt>
                <c:pt idx="54">
                  <c:v>0.1783011704683304</c:v>
                </c:pt>
                <c:pt idx="55">
                  <c:v>0.1326892375946045</c:v>
                </c:pt>
                <c:pt idx="56">
                  <c:v>0.1285427063703537</c:v>
                </c:pt>
                <c:pt idx="57">
                  <c:v>0.1161030828952789</c:v>
                </c:pt>
                <c:pt idx="58">
                  <c:v>0.1078100055456162</c:v>
                </c:pt>
                <c:pt idx="59">
                  <c:v>0.1036634668707848</c:v>
                </c:pt>
                <c:pt idx="60">
                  <c:v>0.09951692819595337</c:v>
                </c:pt>
                <c:pt idx="61">
                  <c:v>0.08293077349662781</c:v>
                </c:pt>
                <c:pt idx="62">
                  <c:v>0.07878423482179642</c:v>
                </c:pt>
                <c:pt idx="63">
                  <c:v>0.07463769614696503</c:v>
                </c:pt>
                <c:pt idx="64">
                  <c:v>0.07463769614696503</c:v>
                </c:pt>
                <c:pt idx="65">
                  <c:v>0.07049115747213364</c:v>
                </c:pt>
                <c:pt idx="66">
                  <c:v>0.06634461879730225</c:v>
                </c:pt>
                <c:pt idx="67">
                  <c:v>0.06219808012247086</c:v>
                </c:pt>
                <c:pt idx="68">
                  <c:v>0.06219808012247086</c:v>
                </c:pt>
                <c:pt idx="69">
                  <c:v>0.05805154144763947</c:v>
                </c:pt>
                <c:pt idx="70">
                  <c:v>0.05805154144763947</c:v>
                </c:pt>
                <c:pt idx="71">
                  <c:v>0.05390500277280808</c:v>
                </c:pt>
                <c:pt idx="72">
                  <c:v>0.03731884807348251</c:v>
                </c:pt>
                <c:pt idx="73">
                  <c:v>0.01658615469932556</c:v>
                </c:pt>
                <c:pt idx="74">
                  <c:v>0.01658615469932556</c:v>
                </c:pt>
                <c:pt idx="75">
                  <c:v>0.008293077349662781</c:v>
                </c:pt>
                <c:pt idx="76">
                  <c:v>0.008293077349662781</c:v>
                </c:pt>
                <c:pt idx="77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80" totalsRowCount="1">
  <autoFilter ref="A2:H79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80" totalsRowCount="1">
  <autoFilter ref="A2:H79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0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80</v>
      </c>
      <c r="C2" t="s">
        <v>81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</v>
      </c>
      <c r="B3" s="2">
        <v>30.05125427246094</v>
      </c>
      <c r="C3" s="1">
        <v>2228</v>
      </c>
      <c r="D3" s="1">
        <v>1082</v>
      </c>
      <c r="E3" s="1">
        <v>1082</v>
      </c>
      <c r="F3" s="1">
        <v>0</v>
      </c>
      <c r="G3" s="1">
        <v>0</v>
      </c>
      <c r="H3" s="1">
        <v>2228</v>
      </c>
    </row>
    <row r="4" spans="1:8">
      <c r="A4" s="1" t="s">
        <v>2</v>
      </c>
      <c r="B4" s="2">
        <v>20.86592864990234</v>
      </c>
      <c r="C4" s="1">
        <v>1547</v>
      </c>
      <c r="D4" s="1">
        <v>610</v>
      </c>
      <c r="E4" s="1">
        <v>610</v>
      </c>
      <c r="F4" s="1">
        <v>0</v>
      </c>
      <c r="G4" s="1">
        <v>0</v>
      </c>
      <c r="H4" s="1">
        <v>1547</v>
      </c>
    </row>
    <row r="5" spans="1:8">
      <c r="A5" s="1" t="s">
        <v>3</v>
      </c>
      <c r="B5" s="2">
        <v>16.02373886108398</v>
      </c>
      <c r="C5" s="1">
        <v>1188</v>
      </c>
      <c r="D5" s="1">
        <v>1660</v>
      </c>
      <c r="E5" s="1">
        <v>1636</v>
      </c>
      <c r="F5" s="1">
        <v>24</v>
      </c>
      <c r="G5" s="1">
        <v>0</v>
      </c>
      <c r="H5" s="1">
        <v>1188</v>
      </c>
    </row>
    <row r="6" spans="1:8">
      <c r="A6" s="1" t="s">
        <v>4</v>
      </c>
      <c r="B6" s="2">
        <v>13.81170749664307</v>
      </c>
      <c r="C6" s="1">
        <v>1024</v>
      </c>
      <c r="D6" s="1">
        <v>424</v>
      </c>
      <c r="E6" s="1">
        <v>36</v>
      </c>
      <c r="F6" s="1">
        <v>388</v>
      </c>
      <c r="G6" s="1">
        <v>0</v>
      </c>
      <c r="H6" s="1">
        <v>1024</v>
      </c>
    </row>
    <row r="7" spans="1:8">
      <c r="A7" s="1" t="s">
        <v>5</v>
      </c>
      <c r="B7" s="2">
        <v>4.316158771514893</v>
      </c>
      <c r="C7" s="1">
        <v>320</v>
      </c>
      <c r="D7" s="1">
        <v>902</v>
      </c>
      <c r="E7" s="1">
        <v>902</v>
      </c>
      <c r="F7" s="1">
        <v>0</v>
      </c>
      <c r="G7" s="1">
        <v>0</v>
      </c>
      <c r="H7" s="1">
        <v>320</v>
      </c>
    </row>
    <row r="8" spans="1:8">
      <c r="A8" s="1" t="s">
        <v>6</v>
      </c>
      <c r="B8" s="2">
        <v>2.616671085357666</v>
      </c>
      <c r="C8" s="1">
        <v>194</v>
      </c>
      <c r="D8" s="1">
        <v>2949</v>
      </c>
      <c r="E8" s="1">
        <v>2758</v>
      </c>
      <c r="F8" s="1">
        <v>0</v>
      </c>
      <c r="G8" s="1">
        <v>191</v>
      </c>
      <c r="H8" s="1">
        <v>3</v>
      </c>
    </row>
    <row r="9" spans="1:8">
      <c r="A9" s="1" t="s">
        <v>7</v>
      </c>
      <c r="B9" s="2">
        <v>2.481791257858276</v>
      </c>
      <c r="C9" s="1">
        <v>184</v>
      </c>
      <c r="D9" s="1">
        <v>1126</v>
      </c>
      <c r="E9" s="1">
        <v>1126</v>
      </c>
      <c r="F9" s="1">
        <v>0</v>
      </c>
      <c r="G9" s="1">
        <v>0</v>
      </c>
      <c r="H9" s="1">
        <v>184</v>
      </c>
    </row>
    <row r="10" spans="1:8">
      <c r="A10" s="1" t="s">
        <v>8</v>
      </c>
      <c r="B10" s="2">
        <v>2.104127407073975</v>
      </c>
      <c r="C10" s="1">
        <v>156</v>
      </c>
      <c r="D10" s="1">
        <v>354</v>
      </c>
      <c r="E10" s="1">
        <v>354</v>
      </c>
      <c r="F10" s="1">
        <v>0</v>
      </c>
      <c r="G10" s="1">
        <v>0</v>
      </c>
      <c r="H10" s="1">
        <v>156</v>
      </c>
    </row>
    <row r="11" spans="1:8">
      <c r="A11" s="1" t="s">
        <v>9</v>
      </c>
      <c r="B11" s="2">
        <v>1.726463437080383</v>
      </c>
      <c r="C11" s="1">
        <v>128</v>
      </c>
      <c r="D11" s="1">
        <v>64</v>
      </c>
      <c r="E11" s="1">
        <v>64</v>
      </c>
      <c r="F11" s="1">
        <v>0</v>
      </c>
      <c r="G11" s="1">
        <v>0</v>
      </c>
      <c r="H11" s="1">
        <v>128</v>
      </c>
    </row>
    <row r="12" spans="1:8">
      <c r="A12" s="1" t="s">
        <v>10</v>
      </c>
      <c r="B12" s="2">
        <v>1.551119446754456</v>
      </c>
      <c r="C12" s="1">
        <v>115</v>
      </c>
      <c r="D12" s="1">
        <v>1482</v>
      </c>
      <c r="E12" s="1">
        <v>1370</v>
      </c>
      <c r="F12" s="1">
        <v>0</v>
      </c>
      <c r="G12" s="1">
        <v>112</v>
      </c>
      <c r="H12" s="1">
        <v>3</v>
      </c>
    </row>
    <row r="13" spans="1:8">
      <c r="A13" s="1" t="s">
        <v>11</v>
      </c>
      <c r="B13" s="2">
        <v>1.025087714195252</v>
      </c>
      <c r="C13" s="1">
        <v>76</v>
      </c>
      <c r="D13" s="1">
        <v>1232</v>
      </c>
      <c r="E13" s="1">
        <v>1220</v>
      </c>
      <c r="F13" s="1">
        <v>4</v>
      </c>
      <c r="G13" s="1">
        <v>8</v>
      </c>
      <c r="H13" s="1">
        <v>68</v>
      </c>
    </row>
    <row r="14" spans="1:8">
      <c r="A14" s="1" t="s">
        <v>12</v>
      </c>
      <c r="B14" s="2">
        <v>0.9441596865653992</v>
      </c>
      <c r="C14" s="1">
        <v>70</v>
      </c>
      <c r="D14" s="1">
        <v>5611</v>
      </c>
      <c r="E14" s="1">
        <v>5568</v>
      </c>
      <c r="F14" s="1">
        <v>0</v>
      </c>
      <c r="G14" s="1">
        <v>43</v>
      </c>
      <c r="H14" s="1">
        <v>27</v>
      </c>
    </row>
    <row r="15" spans="1:8">
      <c r="A15" s="1" t="s">
        <v>13</v>
      </c>
      <c r="B15" s="2">
        <v>0.7823037505149841</v>
      </c>
      <c r="C15" s="1">
        <v>58</v>
      </c>
      <c r="D15" s="1">
        <v>4730</v>
      </c>
      <c r="E15" s="1">
        <v>4730</v>
      </c>
      <c r="F15" s="1">
        <v>0</v>
      </c>
      <c r="G15" s="1">
        <v>0</v>
      </c>
      <c r="H15" s="1">
        <v>58</v>
      </c>
    </row>
    <row r="16" spans="1:8">
      <c r="A16" s="1" t="s">
        <v>14</v>
      </c>
      <c r="B16" s="2">
        <v>0.3371998965740204</v>
      </c>
      <c r="C16" s="1">
        <v>25</v>
      </c>
      <c r="D16" s="1">
        <v>2444</v>
      </c>
      <c r="E16" s="1">
        <v>2436</v>
      </c>
      <c r="F16" s="1">
        <v>0</v>
      </c>
      <c r="G16" s="1">
        <v>8</v>
      </c>
      <c r="H16" s="1">
        <v>17</v>
      </c>
    </row>
    <row r="17" spans="1:8">
      <c r="A17" s="1" t="s">
        <v>15</v>
      </c>
      <c r="B17" s="2">
        <v>0.2967359125614166</v>
      </c>
      <c r="C17" s="1">
        <v>22</v>
      </c>
      <c r="D17" s="1">
        <v>982</v>
      </c>
      <c r="E17" s="1">
        <v>982</v>
      </c>
      <c r="F17" s="1">
        <v>0</v>
      </c>
      <c r="G17" s="1">
        <v>0</v>
      </c>
      <c r="H17" s="1">
        <v>22</v>
      </c>
    </row>
    <row r="18" spans="1:8">
      <c r="A18" s="1" t="s">
        <v>16</v>
      </c>
      <c r="B18" s="2">
        <v>0.2697599232196808</v>
      </c>
      <c r="C18" s="1">
        <v>20</v>
      </c>
      <c r="D18" s="1">
        <v>1252</v>
      </c>
      <c r="E18" s="1">
        <v>1252</v>
      </c>
      <c r="F18" s="1">
        <v>0</v>
      </c>
      <c r="G18" s="1">
        <v>0</v>
      </c>
      <c r="H18" s="1">
        <v>20</v>
      </c>
    </row>
    <row r="19" spans="1:8">
      <c r="A19" s="1" t="s">
        <v>17</v>
      </c>
      <c r="B19" s="2">
        <v>0.2292959243059158</v>
      </c>
      <c r="C19" s="1">
        <v>17</v>
      </c>
      <c r="D19" s="1">
        <v>2238</v>
      </c>
      <c r="E19" s="1">
        <v>2228</v>
      </c>
      <c r="F19" s="1">
        <v>0</v>
      </c>
      <c r="G19" s="1">
        <v>10</v>
      </c>
      <c r="H19" s="1">
        <v>7</v>
      </c>
    </row>
    <row r="20" spans="1:8">
      <c r="A20" s="1" t="s">
        <v>18</v>
      </c>
      <c r="B20" s="2">
        <v>0.2292959243059158</v>
      </c>
      <c r="C20" s="1">
        <v>17</v>
      </c>
      <c r="D20" s="1">
        <v>313</v>
      </c>
      <c r="E20" s="1">
        <v>292</v>
      </c>
      <c r="F20" s="1">
        <v>5</v>
      </c>
      <c r="G20" s="1">
        <v>16</v>
      </c>
      <c r="H20" s="1">
        <v>1</v>
      </c>
    </row>
    <row r="21" spans="1:8">
      <c r="A21" s="1" t="s">
        <v>19</v>
      </c>
      <c r="B21" s="2">
        <v>0.1483679562807083</v>
      </c>
      <c r="C21" s="1">
        <v>11</v>
      </c>
      <c r="D21" s="1">
        <v>292</v>
      </c>
      <c r="E21" s="1">
        <v>290</v>
      </c>
      <c r="F21" s="1">
        <v>0</v>
      </c>
      <c r="G21" s="1">
        <v>2</v>
      </c>
      <c r="H21" s="1">
        <v>9</v>
      </c>
    </row>
    <row r="22" spans="1:8">
      <c r="A22" s="1" t="s">
        <v>20</v>
      </c>
      <c r="B22" s="2">
        <v>0.05395198240876198</v>
      </c>
      <c r="C22" s="1">
        <v>4</v>
      </c>
      <c r="D22" s="1">
        <v>114</v>
      </c>
      <c r="E22" s="1">
        <v>114</v>
      </c>
      <c r="F22" s="1">
        <v>0</v>
      </c>
      <c r="G22" s="1">
        <v>0</v>
      </c>
      <c r="H22" s="1">
        <v>4</v>
      </c>
    </row>
    <row r="23" spans="1:8">
      <c r="A23" s="1" t="s">
        <v>21</v>
      </c>
      <c r="B23" s="2">
        <v>0.05395198240876198</v>
      </c>
      <c r="C23" s="1">
        <v>4</v>
      </c>
      <c r="D23" s="1">
        <v>602</v>
      </c>
      <c r="E23" s="1">
        <v>582</v>
      </c>
      <c r="F23" s="1">
        <v>16</v>
      </c>
      <c r="G23" s="1">
        <v>4</v>
      </c>
      <c r="H23" s="1">
        <v>0</v>
      </c>
    </row>
    <row r="24" spans="1:8">
      <c r="A24" s="1" t="s">
        <v>22</v>
      </c>
      <c r="B24" s="2">
        <v>0.04046398773789406</v>
      </c>
      <c r="C24" s="1">
        <v>3</v>
      </c>
      <c r="D24" s="1">
        <v>271</v>
      </c>
      <c r="E24" s="1">
        <v>270</v>
      </c>
      <c r="F24" s="1">
        <v>0</v>
      </c>
      <c r="G24" s="1">
        <v>1</v>
      </c>
      <c r="H24" s="1">
        <v>2</v>
      </c>
    </row>
    <row r="25" spans="1:8">
      <c r="A25" s="1" t="s">
        <v>23</v>
      </c>
      <c r="B25" s="2">
        <v>0.0134879956021905</v>
      </c>
      <c r="C25" s="1">
        <v>1</v>
      </c>
      <c r="D25" s="1">
        <v>736</v>
      </c>
      <c r="E25" s="1">
        <v>736</v>
      </c>
      <c r="F25" s="1">
        <v>0</v>
      </c>
      <c r="G25" s="1">
        <v>0</v>
      </c>
      <c r="H25" s="1">
        <v>1</v>
      </c>
    </row>
    <row r="26" spans="1:8">
      <c r="A26" s="1" t="s">
        <v>24</v>
      </c>
      <c r="B26" s="2">
        <v>0.0134879956021905</v>
      </c>
      <c r="C26" s="1">
        <v>1</v>
      </c>
      <c r="D26" s="1">
        <v>251</v>
      </c>
      <c r="E26" s="1">
        <v>250</v>
      </c>
      <c r="F26" s="1">
        <v>0</v>
      </c>
      <c r="G26" s="1">
        <v>1</v>
      </c>
      <c r="H26" s="1">
        <v>0</v>
      </c>
    </row>
    <row r="27" spans="1:8">
      <c r="A27" s="1" t="s">
        <v>25</v>
      </c>
      <c r="B27" s="2">
        <v>0.0134879956021905</v>
      </c>
      <c r="C27" s="1">
        <v>1</v>
      </c>
      <c r="D27" s="1">
        <v>116</v>
      </c>
      <c r="E27" s="1">
        <v>116</v>
      </c>
      <c r="F27" s="1">
        <v>0</v>
      </c>
      <c r="G27" s="1">
        <v>0</v>
      </c>
      <c r="H27" s="1">
        <v>1</v>
      </c>
    </row>
    <row r="80" spans="1:8">
      <c r="A80" t="s">
        <v>79</v>
      </c>
      <c r="B80">
        <f>SUBTOTAL(109,[ram_percent])</f>
        <v>0</v>
      </c>
      <c r="C80">
        <f>SUBTOTAL(109,[ram])</f>
        <v>0</v>
      </c>
      <c r="D80">
        <f>SUBTOTAL(109,[flash])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80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78</v>
      </c>
      <c r="B2" t="s">
        <v>87</v>
      </c>
      <c r="C2" t="s">
        <v>82</v>
      </c>
      <c r="D2" t="s">
        <v>81</v>
      </c>
      <c r="E2" t="s">
        <v>83</v>
      </c>
      <c r="F2" t="s">
        <v>84</v>
      </c>
      <c r="G2" t="s">
        <v>85</v>
      </c>
      <c r="H2" t="s">
        <v>86</v>
      </c>
    </row>
    <row r="3" spans="1:8">
      <c r="A3" s="1" t="s">
        <v>12</v>
      </c>
      <c r="B3" s="2">
        <v>11.63311386108398</v>
      </c>
      <c r="C3" s="1">
        <v>5611</v>
      </c>
      <c r="D3" s="1">
        <v>70</v>
      </c>
      <c r="E3" s="1">
        <v>5568</v>
      </c>
      <c r="F3" s="1">
        <v>0</v>
      </c>
      <c r="G3" s="1">
        <v>43</v>
      </c>
      <c r="H3" s="1">
        <v>27</v>
      </c>
    </row>
    <row r="4" spans="1:8">
      <c r="A4" s="1" t="s">
        <v>13</v>
      </c>
      <c r="B4" s="2">
        <v>9.806564331054688</v>
      </c>
      <c r="C4" s="1">
        <v>4730</v>
      </c>
      <c r="D4" s="1">
        <v>58</v>
      </c>
      <c r="E4" s="1">
        <v>4730</v>
      </c>
      <c r="F4" s="1">
        <v>0</v>
      </c>
      <c r="G4" s="1">
        <v>0</v>
      </c>
      <c r="H4" s="1">
        <v>58</v>
      </c>
    </row>
    <row r="5" spans="1:8">
      <c r="A5" s="1" t="s">
        <v>6</v>
      </c>
      <c r="B5" s="2">
        <v>6.114071369171143</v>
      </c>
      <c r="C5" s="1">
        <v>2949</v>
      </c>
      <c r="D5" s="1">
        <v>194</v>
      </c>
      <c r="E5" s="1">
        <v>2758</v>
      </c>
      <c r="F5" s="1">
        <v>0</v>
      </c>
      <c r="G5" s="1">
        <v>191</v>
      </c>
      <c r="H5" s="1">
        <v>3</v>
      </c>
    </row>
    <row r="6" spans="1:8">
      <c r="A6" s="1" t="s">
        <v>14</v>
      </c>
      <c r="B6" s="2">
        <v>5.067070484161377</v>
      </c>
      <c r="C6" s="1">
        <v>2444</v>
      </c>
      <c r="D6" s="1">
        <v>25</v>
      </c>
      <c r="E6" s="1">
        <v>2436</v>
      </c>
      <c r="F6" s="1">
        <v>0</v>
      </c>
      <c r="G6" s="1">
        <v>8</v>
      </c>
      <c r="H6" s="1">
        <v>17</v>
      </c>
    </row>
    <row r="7" spans="1:8">
      <c r="A7" s="1" t="s">
        <v>17</v>
      </c>
      <c r="B7" s="2">
        <v>4.639976978302002</v>
      </c>
      <c r="C7" s="1">
        <v>2238</v>
      </c>
      <c r="D7" s="1">
        <v>17</v>
      </c>
      <c r="E7" s="1">
        <v>2228</v>
      </c>
      <c r="F7" s="1">
        <v>0</v>
      </c>
      <c r="G7" s="1">
        <v>10</v>
      </c>
      <c r="H7" s="1">
        <v>7</v>
      </c>
    </row>
    <row r="8" spans="1:8">
      <c r="A8" s="1" t="s">
        <v>3</v>
      </c>
      <c r="B8" s="2">
        <v>3.441627025604248</v>
      </c>
      <c r="C8" s="1">
        <v>1660</v>
      </c>
      <c r="D8" s="1">
        <v>1188</v>
      </c>
      <c r="E8" s="1">
        <v>1636</v>
      </c>
      <c r="F8" s="1">
        <v>24</v>
      </c>
      <c r="G8" s="1">
        <v>0</v>
      </c>
      <c r="H8" s="1">
        <v>1188</v>
      </c>
    </row>
    <row r="9" spans="1:8">
      <c r="A9" s="1" t="s">
        <v>26</v>
      </c>
      <c r="B9" s="2">
        <v>3.242593288421631</v>
      </c>
      <c r="C9" s="1">
        <v>1564</v>
      </c>
      <c r="D9" s="1">
        <v>0</v>
      </c>
      <c r="E9" s="1">
        <v>1524</v>
      </c>
      <c r="F9" s="1">
        <v>40</v>
      </c>
      <c r="G9" s="1">
        <v>0</v>
      </c>
      <c r="H9" s="1">
        <v>0</v>
      </c>
    </row>
    <row r="10" spans="1:8">
      <c r="A10" s="1" t="s">
        <v>10</v>
      </c>
      <c r="B10" s="2">
        <v>3.072585105895996</v>
      </c>
      <c r="C10" s="1">
        <v>1482</v>
      </c>
      <c r="D10" s="1">
        <v>115</v>
      </c>
      <c r="E10" s="1">
        <v>1370</v>
      </c>
      <c r="F10" s="1">
        <v>0</v>
      </c>
      <c r="G10" s="1">
        <v>112</v>
      </c>
      <c r="H10" s="1">
        <v>3</v>
      </c>
    </row>
    <row r="11" spans="1:8">
      <c r="A11" s="1" t="s">
        <v>27</v>
      </c>
      <c r="B11" s="2">
        <v>2.989654302597046</v>
      </c>
      <c r="C11" s="1">
        <v>1442</v>
      </c>
      <c r="D11" s="1">
        <v>0</v>
      </c>
      <c r="E11" s="1">
        <v>1442</v>
      </c>
      <c r="F11" s="1">
        <v>0</v>
      </c>
      <c r="G11" s="1">
        <v>0</v>
      </c>
      <c r="H11" s="1">
        <v>0</v>
      </c>
    </row>
    <row r="12" spans="1:8">
      <c r="A12" s="1" t="s">
        <v>28</v>
      </c>
      <c r="B12" s="2">
        <v>2.707689762115479</v>
      </c>
      <c r="C12" s="1">
        <v>1306</v>
      </c>
      <c r="D12" s="1">
        <v>0</v>
      </c>
      <c r="E12" s="1">
        <v>1306</v>
      </c>
      <c r="F12" s="1">
        <v>0</v>
      </c>
      <c r="G12" s="1">
        <v>0</v>
      </c>
      <c r="H12" s="1">
        <v>0</v>
      </c>
    </row>
    <row r="13" spans="1:8">
      <c r="A13" s="1" t="s">
        <v>29</v>
      </c>
      <c r="B13" s="2">
        <v>2.686957120895386</v>
      </c>
      <c r="C13" s="1">
        <v>1296</v>
      </c>
      <c r="D13" s="1">
        <v>0</v>
      </c>
      <c r="E13" s="1">
        <v>1296</v>
      </c>
      <c r="F13" s="1">
        <v>0</v>
      </c>
      <c r="G13" s="1">
        <v>0</v>
      </c>
      <c r="H13" s="1">
        <v>0</v>
      </c>
    </row>
    <row r="14" spans="1:8">
      <c r="A14" s="1" t="s">
        <v>16</v>
      </c>
      <c r="B14" s="2">
        <v>2.595733165740967</v>
      </c>
      <c r="C14" s="1">
        <v>1252</v>
      </c>
      <c r="D14" s="1">
        <v>20</v>
      </c>
      <c r="E14" s="1">
        <v>1252</v>
      </c>
      <c r="F14" s="1">
        <v>0</v>
      </c>
      <c r="G14" s="1">
        <v>0</v>
      </c>
      <c r="H14" s="1">
        <v>20</v>
      </c>
    </row>
    <row r="15" spans="1:8">
      <c r="A15" s="1" t="s">
        <v>11</v>
      </c>
      <c r="B15" s="2">
        <v>2.554267883300781</v>
      </c>
      <c r="C15" s="1">
        <v>1232</v>
      </c>
      <c r="D15" s="1">
        <v>76</v>
      </c>
      <c r="E15" s="1">
        <v>1220</v>
      </c>
      <c r="F15" s="1">
        <v>4</v>
      </c>
      <c r="G15" s="1">
        <v>8</v>
      </c>
      <c r="H15" s="1">
        <v>68</v>
      </c>
    </row>
    <row r="16" spans="1:8">
      <c r="A16" s="1" t="s">
        <v>7</v>
      </c>
      <c r="B16" s="2">
        <v>2.334501266479492</v>
      </c>
      <c r="C16" s="1">
        <v>1126</v>
      </c>
      <c r="D16" s="1">
        <v>184</v>
      </c>
      <c r="E16" s="1">
        <v>1126</v>
      </c>
      <c r="F16" s="1">
        <v>0</v>
      </c>
      <c r="G16" s="1">
        <v>0</v>
      </c>
      <c r="H16" s="1">
        <v>184</v>
      </c>
    </row>
    <row r="17" spans="1:8">
      <c r="A17" s="1" t="s">
        <v>1</v>
      </c>
      <c r="B17" s="2">
        <v>2.243277311325073</v>
      </c>
      <c r="C17" s="1">
        <v>1082</v>
      </c>
      <c r="D17" s="1">
        <v>2228</v>
      </c>
      <c r="E17" s="1">
        <v>1082</v>
      </c>
      <c r="F17" s="1">
        <v>0</v>
      </c>
      <c r="G17" s="1">
        <v>0</v>
      </c>
      <c r="H17" s="1">
        <v>2228</v>
      </c>
    </row>
    <row r="18" spans="1:8">
      <c r="A18" s="1" t="s">
        <v>30</v>
      </c>
      <c r="B18" s="2">
        <v>2.118881225585938</v>
      </c>
      <c r="C18" s="1">
        <v>1022</v>
      </c>
      <c r="D18" s="1">
        <v>0</v>
      </c>
      <c r="E18" s="1">
        <v>1022</v>
      </c>
      <c r="F18" s="1">
        <v>0</v>
      </c>
      <c r="G18" s="1">
        <v>0</v>
      </c>
      <c r="H18" s="1">
        <v>0</v>
      </c>
    </row>
    <row r="19" spans="1:8">
      <c r="A19" s="1" t="s">
        <v>15</v>
      </c>
      <c r="B19" s="2">
        <v>2.035950422286987</v>
      </c>
      <c r="C19" s="1">
        <v>982</v>
      </c>
      <c r="D19" s="1">
        <v>22</v>
      </c>
      <c r="E19" s="1">
        <v>982</v>
      </c>
      <c r="F19" s="1">
        <v>0</v>
      </c>
      <c r="G19" s="1">
        <v>0</v>
      </c>
      <c r="H19" s="1">
        <v>22</v>
      </c>
    </row>
    <row r="20" spans="1:8">
      <c r="A20" s="1" t="s">
        <v>31</v>
      </c>
      <c r="B20" s="2">
        <v>1.961312770843506</v>
      </c>
      <c r="C20" s="1">
        <v>946</v>
      </c>
      <c r="D20" s="1">
        <v>0</v>
      </c>
      <c r="E20" s="1">
        <v>946</v>
      </c>
      <c r="F20" s="1">
        <v>0</v>
      </c>
      <c r="G20" s="1">
        <v>0</v>
      </c>
      <c r="H20" s="1">
        <v>0</v>
      </c>
    </row>
    <row r="21" spans="1:8">
      <c r="A21" s="1" t="s">
        <v>5</v>
      </c>
      <c r="B21" s="2">
        <v>1.870088934898377</v>
      </c>
      <c r="C21" s="1">
        <v>902</v>
      </c>
      <c r="D21" s="1">
        <v>320</v>
      </c>
      <c r="E21" s="1">
        <v>902</v>
      </c>
      <c r="F21" s="1">
        <v>0</v>
      </c>
      <c r="G21" s="1">
        <v>0</v>
      </c>
      <c r="H21" s="1">
        <v>320</v>
      </c>
    </row>
    <row r="22" spans="1:8">
      <c r="A22" s="1" t="s">
        <v>32</v>
      </c>
      <c r="B22" s="2">
        <v>1.662762045860291</v>
      </c>
      <c r="C22" s="1">
        <v>802</v>
      </c>
      <c r="D22" s="1">
        <v>0</v>
      </c>
      <c r="E22" s="1">
        <v>802</v>
      </c>
      <c r="F22" s="1">
        <v>0</v>
      </c>
      <c r="G22" s="1">
        <v>0</v>
      </c>
      <c r="H22" s="1">
        <v>0</v>
      </c>
    </row>
    <row r="23" spans="1:8">
      <c r="A23" s="1" t="s">
        <v>23</v>
      </c>
      <c r="B23" s="2">
        <v>1.525926232337952</v>
      </c>
      <c r="C23" s="1">
        <v>736</v>
      </c>
      <c r="D23" s="1">
        <v>1</v>
      </c>
      <c r="E23" s="1">
        <v>736</v>
      </c>
      <c r="F23" s="1">
        <v>0</v>
      </c>
      <c r="G23" s="1">
        <v>0</v>
      </c>
      <c r="H23" s="1">
        <v>1</v>
      </c>
    </row>
    <row r="24" spans="1:8">
      <c r="A24" s="1" t="s">
        <v>33</v>
      </c>
      <c r="B24" s="2">
        <v>1.501047015190125</v>
      </c>
      <c r="C24" s="1">
        <v>724</v>
      </c>
      <c r="D24" s="1">
        <v>0</v>
      </c>
      <c r="E24" s="1">
        <v>724</v>
      </c>
      <c r="F24" s="1">
        <v>0</v>
      </c>
      <c r="G24" s="1">
        <v>0</v>
      </c>
      <c r="H24" s="1">
        <v>0</v>
      </c>
    </row>
    <row r="25" spans="1:8">
      <c r="A25" s="1" t="s">
        <v>34</v>
      </c>
      <c r="B25" s="2">
        <v>1.488607406616211</v>
      </c>
      <c r="C25" s="1">
        <v>718</v>
      </c>
      <c r="D25" s="1">
        <v>0</v>
      </c>
      <c r="E25" s="1">
        <v>718</v>
      </c>
      <c r="F25" s="1">
        <v>0</v>
      </c>
      <c r="G25" s="1">
        <v>0</v>
      </c>
      <c r="H25" s="1">
        <v>0</v>
      </c>
    </row>
    <row r="26" spans="1:8">
      <c r="A26" s="1" t="s">
        <v>2</v>
      </c>
      <c r="B26" s="2">
        <v>1.264694333076477</v>
      </c>
      <c r="C26" s="1">
        <v>610</v>
      </c>
      <c r="D26" s="1">
        <v>1547</v>
      </c>
      <c r="E26" s="1">
        <v>610</v>
      </c>
      <c r="F26" s="1">
        <v>0</v>
      </c>
      <c r="G26" s="1">
        <v>0</v>
      </c>
      <c r="H26" s="1">
        <v>1547</v>
      </c>
    </row>
    <row r="27" spans="1:8">
      <c r="A27" s="1" t="s">
        <v>21</v>
      </c>
      <c r="B27" s="2">
        <v>1.248108148574829</v>
      </c>
      <c r="C27" s="1">
        <v>602</v>
      </c>
      <c r="D27" s="1">
        <v>4</v>
      </c>
      <c r="E27" s="1">
        <v>582</v>
      </c>
      <c r="F27" s="1">
        <v>16</v>
      </c>
      <c r="G27" s="1">
        <v>4</v>
      </c>
      <c r="H27" s="1">
        <v>0</v>
      </c>
    </row>
    <row r="28" spans="1:8">
      <c r="A28" s="1" t="s">
        <v>35</v>
      </c>
      <c r="B28" s="2">
        <v>1.248108148574829</v>
      </c>
      <c r="C28" s="1">
        <v>602</v>
      </c>
      <c r="D28" s="1">
        <v>0</v>
      </c>
      <c r="E28" s="1">
        <v>602</v>
      </c>
      <c r="F28" s="1">
        <v>0</v>
      </c>
      <c r="G28" s="1">
        <v>0</v>
      </c>
      <c r="H28" s="1">
        <v>0</v>
      </c>
    </row>
    <row r="29" spans="1:8">
      <c r="A29" s="1" t="s">
        <v>36</v>
      </c>
      <c r="B29" s="2">
        <v>1.1568843126297</v>
      </c>
      <c r="C29" s="1">
        <v>558</v>
      </c>
      <c r="D29" s="1">
        <v>0</v>
      </c>
      <c r="E29" s="1">
        <v>558</v>
      </c>
      <c r="F29" s="1">
        <v>0</v>
      </c>
      <c r="G29" s="1">
        <v>0</v>
      </c>
      <c r="H29" s="1">
        <v>0</v>
      </c>
    </row>
    <row r="30" spans="1:8">
      <c r="A30" s="1" t="s">
        <v>37</v>
      </c>
      <c r="B30" s="2">
        <v>1.078100085258484</v>
      </c>
      <c r="C30" s="1">
        <v>520</v>
      </c>
      <c r="D30" s="1">
        <v>0</v>
      </c>
      <c r="E30" s="1">
        <v>520</v>
      </c>
      <c r="F30" s="1">
        <v>0</v>
      </c>
      <c r="G30" s="1">
        <v>0</v>
      </c>
      <c r="H30" s="1">
        <v>0</v>
      </c>
    </row>
    <row r="31" spans="1:8">
      <c r="A31" s="1" t="s">
        <v>38</v>
      </c>
      <c r="B31" s="2">
        <v>1.044927716255188</v>
      </c>
      <c r="C31" s="1">
        <v>504</v>
      </c>
      <c r="D31" s="1">
        <v>0</v>
      </c>
      <c r="E31" s="1">
        <v>504</v>
      </c>
      <c r="F31" s="1">
        <v>0</v>
      </c>
      <c r="G31" s="1">
        <v>0</v>
      </c>
      <c r="H31" s="1">
        <v>0</v>
      </c>
    </row>
    <row r="32" spans="1:8">
      <c r="A32" s="1" t="s">
        <v>4</v>
      </c>
      <c r="B32" s="2">
        <v>0.8790662288665772</v>
      </c>
      <c r="C32" s="1">
        <v>424</v>
      </c>
      <c r="D32" s="1">
        <v>1024</v>
      </c>
      <c r="E32" s="1">
        <v>36</v>
      </c>
      <c r="F32" s="1">
        <v>388</v>
      </c>
      <c r="G32" s="1">
        <v>0</v>
      </c>
      <c r="H32" s="1">
        <v>1024</v>
      </c>
    </row>
    <row r="33" spans="1:8">
      <c r="A33" s="1" t="s">
        <v>39</v>
      </c>
      <c r="B33" s="2">
        <v>0.8251612186431885</v>
      </c>
      <c r="C33" s="1">
        <v>398</v>
      </c>
      <c r="D33" s="1">
        <v>0</v>
      </c>
      <c r="E33" s="1">
        <v>398</v>
      </c>
      <c r="F33" s="1">
        <v>0</v>
      </c>
      <c r="G33" s="1">
        <v>0</v>
      </c>
      <c r="H33" s="1">
        <v>0</v>
      </c>
    </row>
    <row r="34" spans="1:8">
      <c r="A34" s="1" t="s">
        <v>8</v>
      </c>
      <c r="B34" s="2">
        <v>0.7339373230934143</v>
      </c>
      <c r="C34" s="1">
        <v>354</v>
      </c>
      <c r="D34" s="1">
        <v>156</v>
      </c>
      <c r="E34" s="1">
        <v>354</v>
      </c>
      <c r="F34" s="1">
        <v>0</v>
      </c>
      <c r="G34" s="1">
        <v>0</v>
      </c>
      <c r="H34" s="1">
        <v>156</v>
      </c>
    </row>
    <row r="35" spans="1:8">
      <c r="A35" s="1" t="s">
        <v>40</v>
      </c>
      <c r="B35" s="2">
        <v>0.7049115896224976</v>
      </c>
      <c r="C35" s="1">
        <v>340</v>
      </c>
      <c r="D35" s="1">
        <v>0</v>
      </c>
      <c r="E35" s="1">
        <v>340</v>
      </c>
      <c r="F35" s="1">
        <v>0</v>
      </c>
      <c r="G35" s="1">
        <v>0</v>
      </c>
      <c r="H35" s="1">
        <v>0</v>
      </c>
    </row>
    <row r="36" spans="1:8">
      <c r="A36" s="1" t="s">
        <v>41</v>
      </c>
      <c r="B36" s="2">
        <v>0.692471981048584</v>
      </c>
      <c r="C36" s="1">
        <v>334</v>
      </c>
      <c r="D36" s="1">
        <v>0</v>
      </c>
      <c r="E36" s="1">
        <v>334</v>
      </c>
      <c r="F36" s="1">
        <v>0</v>
      </c>
      <c r="G36" s="1">
        <v>0</v>
      </c>
      <c r="H36" s="1">
        <v>0</v>
      </c>
    </row>
    <row r="37" spans="1:8">
      <c r="A37" s="1" t="s">
        <v>18</v>
      </c>
      <c r="B37" s="2">
        <v>0.6489332914352417</v>
      </c>
      <c r="C37" s="1">
        <v>313</v>
      </c>
      <c r="D37" s="1">
        <v>17</v>
      </c>
      <c r="E37" s="1">
        <v>292</v>
      </c>
      <c r="F37" s="1">
        <v>5</v>
      </c>
      <c r="G37" s="1">
        <v>16</v>
      </c>
      <c r="H37" s="1">
        <v>1</v>
      </c>
    </row>
    <row r="38" spans="1:8">
      <c r="A38" s="1" t="s">
        <v>42</v>
      </c>
      <c r="B38" s="2">
        <v>0.6302738785743713</v>
      </c>
      <c r="C38" s="1">
        <v>304</v>
      </c>
      <c r="D38" s="1">
        <v>0</v>
      </c>
      <c r="E38" s="1">
        <v>304</v>
      </c>
      <c r="F38" s="1">
        <v>0</v>
      </c>
      <c r="G38" s="1">
        <v>0</v>
      </c>
      <c r="H38" s="1">
        <v>0</v>
      </c>
    </row>
    <row r="39" spans="1:8">
      <c r="A39" s="1" t="s">
        <v>19</v>
      </c>
      <c r="B39" s="2">
        <v>0.6053946614265442</v>
      </c>
      <c r="C39" s="1">
        <v>292</v>
      </c>
      <c r="D39" s="1">
        <v>11</v>
      </c>
      <c r="E39" s="1">
        <v>290</v>
      </c>
      <c r="F39" s="1">
        <v>0</v>
      </c>
      <c r="G39" s="1">
        <v>2</v>
      </c>
      <c r="H39" s="1">
        <v>9</v>
      </c>
    </row>
    <row r="40" spans="1:8">
      <c r="A40" s="1" t="s">
        <v>43</v>
      </c>
      <c r="B40" s="2">
        <v>0.580515444278717</v>
      </c>
      <c r="C40" s="1">
        <v>280</v>
      </c>
      <c r="D40" s="1">
        <v>0</v>
      </c>
      <c r="E40" s="1">
        <v>280</v>
      </c>
      <c r="F40" s="1">
        <v>0</v>
      </c>
      <c r="G40" s="1">
        <v>0</v>
      </c>
      <c r="H40" s="1">
        <v>0</v>
      </c>
    </row>
    <row r="41" spans="1:8">
      <c r="A41" s="1" t="s">
        <v>22</v>
      </c>
      <c r="B41" s="2">
        <v>0.5618559718132019</v>
      </c>
      <c r="C41" s="1">
        <v>271</v>
      </c>
      <c r="D41" s="1">
        <v>3</v>
      </c>
      <c r="E41" s="1">
        <v>270</v>
      </c>
      <c r="F41" s="1">
        <v>0</v>
      </c>
      <c r="G41" s="1">
        <v>1</v>
      </c>
      <c r="H41" s="1">
        <v>2</v>
      </c>
    </row>
    <row r="42" spans="1:8">
      <c r="A42" s="1" t="s">
        <v>24</v>
      </c>
      <c r="B42" s="2">
        <v>0.5203906297683716</v>
      </c>
      <c r="C42" s="1">
        <v>251</v>
      </c>
      <c r="D42" s="1">
        <v>1</v>
      </c>
      <c r="E42" s="1">
        <v>250</v>
      </c>
      <c r="F42" s="1">
        <v>0</v>
      </c>
      <c r="G42" s="1">
        <v>1</v>
      </c>
      <c r="H42" s="1">
        <v>0</v>
      </c>
    </row>
    <row r="43" spans="1:8">
      <c r="A43" s="1" t="s">
        <v>44</v>
      </c>
      <c r="B43" s="2">
        <v>0.4934380948543549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45</v>
      </c>
      <c r="B44" s="2">
        <v>0.4768519401550293</v>
      </c>
      <c r="C44" s="1">
        <v>230</v>
      </c>
      <c r="D44" s="1">
        <v>0</v>
      </c>
      <c r="E44" s="1">
        <v>230</v>
      </c>
      <c r="F44" s="1">
        <v>0</v>
      </c>
      <c r="G44" s="1">
        <v>0</v>
      </c>
      <c r="H44" s="1">
        <v>0</v>
      </c>
    </row>
    <row r="45" spans="1:8">
      <c r="A45" s="1" t="s">
        <v>46</v>
      </c>
      <c r="B45" s="2">
        <v>0.4727054238319397</v>
      </c>
      <c r="C45" s="1">
        <v>228</v>
      </c>
      <c r="D45" s="1">
        <v>0</v>
      </c>
      <c r="E45" s="1">
        <v>228</v>
      </c>
      <c r="F45" s="1">
        <v>0</v>
      </c>
      <c r="G45" s="1">
        <v>0</v>
      </c>
      <c r="H45" s="1">
        <v>0</v>
      </c>
    </row>
    <row r="46" spans="1:8">
      <c r="A46" s="1" t="s">
        <v>47</v>
      </c>
      <c r="B46" s="2">
        <v>0.4602657854557037</v>
      </c>
      <c r="C46" s="1">
        <v>222</v>
      </c>
      <c r="D46" s="1">
        <v>0</v>
      </c>
      <c r="E46" s="1">
        <v>222</v>
      </c>
      <c r="F46" s="1">
        <v>0</v>
      </c>
      <c r="G46" s="1">
        <v>0</v>
      </c>
      <c r="H46" s="1">
        <v>0</v>
      </c>
    </row>
    <row r="47" spans="1:8">
      <c r="A47" s="1" t="s">
        <v>48</v>
      </c>
      <c r="B47" s="2">
        <v>0.4105073213577271</v>
      </c>
      <c r="C47" s="1">
        <v>198</v>
      </c>
      <c r="D47" s="1">
        <v>0</v>
      </c>
      <c r="E47" s="1">
        <v>198</v>
      </c>
      <c r="F47" s="1">
        <v>0</v>
      </c>
      <c r="G47" s="1">
        <v>0</v>
      </c>
      <c r="H47" s="1">
        <v>0</v>
      </c>
    </row>
    <row r="48" spans="1:8">
      <c r="A48" s="1" t="s">
        <v>49</v>
      </c>
      <c r="B48" s="2">
        <v>0.3856281042098999</v>
      </c>
      <c r="C48" s="1">
        <v>186</v>
      </c>
      <c r="D48" s="1">
        <v>0</v>
      </c>
      <c r="E48" s="1">
        <v>186</v>
      </c>
      <c r="F48" s="1">
        <v>0</v>
      </c>
      <c r="G48" s="1">
        <v>0</v>
      </c>
      <c r="H48" s="1">
        <v>0</v>
      </c>
    </row>
    <row r="49" spans="1:8">
      <c r="A49" s="1" t="s">
        <v>50</v>
      </c>
      <c r="B49" s="2">
        <v>0.2778180837631226</v>
      </c>
      <c r="C49" s="1">
        <v>134</v>
      </c>
      <c r="D49" s="1">
        <v>0</v>
      </c>
      <c r="E49" s="1">
        <v>134</v>
      </c>
      <c r="F49" s="1">
        <v>0</v>
      </c>
      <c r="G49" s="1">
        <v>0</v>
      </c>
      <c r="H49" s="1">
        <v>0</v>
      </c>
    </row>
    <row r="50" spans="1:8">
      <c r="A50" s="1" t="s">
        <v>51</v>
      </c>
      <c r="B50" s="2">
        <v>0.2529388666152954</v>
      </c>
      <c r="C50" s="1">
        <v>122</v>
      </c>
      <c r="D50" s="1">
        <v>0</v>
      </c>
      <c r="E50" s="1">
        <v>122</v>
      </c>
      <c r="F50" s="1">
        <v>0</v>
      </c>
      <c r="G50" s="1">
        <v>0</v>
      </c>
      <c r="H50" s="1">
        <v>0</v>
      </c>
    </row>
    <row r="51" spans="1:8">
      <c r="A51" s="1" t="s">
        <v>52</v>
      </c>
      <c r="B51" s="2">
        <v>0.2446457892656326</v>
      </c>
      <c r="C51" s="1">
        <v>118</v>
      </c>
      <c r="D51" s="1">
        <v>0</v>
      </c>
      <c r="E51" s="1">
        <v>118</v>
      </c>
      <c r="F51" s="1">
        <v>0</v>
      </c>
      <c r="G51" s="1">
        <v>0</v>
      </c>
      <c r="H51" s="1">
        <v>0</v>
      </c>
    </row>
    <row r="52" spans="1:8">
      <c r="A52" s="1" t="s">
        <v>25</v>
      </c>
      <c r="B52" s="2">
        <v>0.2404992431402206</v>
      </c>
      <c r="C52" s="1">
        <v>116</v>
      </c>
      <c r="D52" s="1">
        <v>1</v>
      </c>
      <c r="E52" s="1">
        <v>116</v>
      </c>
      <c r="F52" s="1">
        <v>0</v>
      </c>
      <c r="G52" s="1">
        <v>0</v>
      </c>
      <c r="H52" s="1">
        <v>1</v>
      </c>
    </row>
    <row r="53" spans="1:8">
      <c r="A53" s="1" t="s">
        <v>20</v>
      </c>
      <c r="B53" s="2">
        <v>0.2363527119159699</v>
      </c>
      <c r="C53" s="1">
        <v>114</v>
      </c>
      <c r="D53" s="1">
        <v>4</v>
      </c>
      <c r="E53" s="1">
        <v>114</v>
      </c>
      <c r="F53" s="1">
        <v>0</v>
      </c>
      <c r="G53" s="1">
        <v>0</v>
      </c>
      <c r="H53" s="1">
        <v>4</v>
      </c>
    </row>
    <row r="54" spans="1:8">
      <c r="A54" s="1" t="s">
        <v>53</v>
      </c>
      <c r="B54" s="2">
        <v>0.2280596345663071</v>
      </c>
      <c r="C54" s="1">
        <v>110</v>
      </c>
      <c r="D54" s="1">
        <v>0</v>
      </c>
      <c r="E54" s="1">
        <v>110</v>
      </c>
      <c r="F54" s="1">
        <v>0</v>
      </c>
      <c r="G54" s="1">
        <v>0</v>
      </c>
      <c r="H54" s="1">
        <v>0</v>
      </c>
    </row>
    <row r="55" spans="1:8">
      <c r="A55" s="1" t="s">
        <v>54</v>
      </c>
      <c r="B55" s="2">
        <v>0.2031804025173187</v>
      </c>
      <c r="C55" s="1">
        <v>98</v>
      </c>
      <c r="D55" s="1">
        <v>0</v>
      </c>
      <c r="E55" s="1">
        <v>98</v>
      </c>
      <c r="F55" s="1">
        <v>0</v>
      </c>
      <c r="G55" s="1">
        <v>0</v>
      </c>
      <c r="H55" s="1">
        <v>0</v>
      </c>
    </row>
    <row r="56" spans="1:8">
      <c r="A56" s="1" t="s">
        <v>55</v>
      </c>
      <c r="B56" s="2">
        <v>0.2031804025173187</v>
      </c>
      <c r="C56" s="1">
        <v>98</v>
      </c>
      <c r="D56" s="1">
        <v>0</v>
      </c>
      <c r="E56" s="1">
        <v>98</v>
      </c>
      <c r="F56" s="1">
        <v>0</v>
      </c>
      <c r="G56" s="1">
        <v>0</v>
      </c>
      <c r="H56" s="1">
        <v>0</v>
      </c>
    </row>
    <row r="57" spans="1:8">
      <c r="A57" s="1" t="s">
        <v>56</v>
      </c>
      <c r="B57" s="2">
        <v>0.1783011704683304</v>
      </c>
      <c r="C57" s="1">
        <v>86</v>
      </c>
      <c r="D57" s="1">
        <v>0</v>
      </c>
      <c r="E57" s="1">
        <v>86</v>
      </c>
      <c r="F57" s="1">
        <v>0</v>
      </c>
      <c r="G57" s="1">
        <v>0</v>
      </c>
      <c r="H57" s="1">
        <v>0</v>
      </c>
    </row>
    <row r="58" spans="1:8">
      <c r="A58" s="1" t="s">
        <v>9</v>
      </c>
      <c r="B58" s="2">
        <v>0.1326892375946045</v>
      </c>
      <c r="C58" s="1">
        <v>64</v>
      </c>
      <c r="D58" s="1">
        <v>128</v>
      </c>
      <c r="E58" s="1">
        <v>64</v>
      </c>
      <c r="F58" s="1">
        <v>0</v>
      </c>
      <c r="G58" s="1">
        <v>0</v>
      </c>
      <c r="H58" s="1">
        <v>128</v>
      </c>
    </row>
    <row r="59" spans="1:8">
      <c r="A59" s="1" t="s">
        <v>57</v>
      </c>
      <c r="B59" s="2">
        <v>0.1285427063703537</v>
      </c>
      <c r="C59" s="1">
        <v>62</v>
      </c>
      <c r="D59" s="1">
        <v>0</v>
      </c>
      <c r="E59" s="1">
        <v>62</v>
      </c>
      <c r="F59" s="1">
        <v>0</v>
      </c>
      <c r="G59" s="1">
        <v>0</v>
      </c>
      <c r="H59" s="1">
        <v>0</v>
      </c>
    </row>
    <row r="60" spans="1:8">
      <c r="A60" s="1" t="s">
        <v>58</v>
      </c>
      <c r="B60" s="2">
        <v>0.1161030828952789</v>
      </c>
      <c r="C60" s="1">
        <v>56</v>
      </c>
      <c r="D60" s="1">
        <v>0</v>
      </c>
      <c r="E60" s="1">
        <v>56</v>
      </c>
      <c r="F60" s="1">
        <v>0</v>
      </c>
      <c r="G60" s="1">
        <v>0</v>
      </c>
      <c r="H60" s="1">
        <v>0</v>
      </c>
    </row>
    <row r="61" spans="1:8">
      <c r="A61" s="1" t="s">
        <v>59</v>
      </c>
      <c r="B61" s="2">
        <v>0.1078100055456162</v>
      </c>
      <c r="C61" s="1">
        <v>52</v>
      </c>
      <c r="D61" s="1">
        <v>0</v>
      </c>
      <c r="E61" s="1">
        <v>52</v>
      </c>
      <c r="F61" s="1">
        <v>0</v>
      </c>
      <c r="G61" s="1">
        <v>0</v>
      </c>
      <c r="H61" s="1">
        <v>0</v>
      </c>
    </row>
    <row r="62" spans="1:8">
      <c r="A62" s="1" t="s">
        <v>60</v>
      </c>
      <c r="B62" s="2">
        <v>0.1036634668707848</v>
      </c>
      <c r="C62" s="1">
        <v>50</v>
      </c>
      <c r="D62" s="1">
        <v>0</v>
      </c>
      <c r="E62" s="1">
        <v>50</v>
      </c>
      <c r="F62" s="1">
        <v>0</v>
      </c>
      <c r="G62" s="1">
        <v>0</v>
      </c>
      <c r="H62" s="1">
        <v>0</v>
      </c>
    </row>
    <row r="63" spans="1:8">
      <c r="A63" s="1" t="s">
        <v>61</v>
      </c>
      <c r="B63" s="2">
        <v>0.09951692819595337</v>
      </c>
      <c r="C63" s="1">
        <v>48</v>
      </c>
      <c r="D63" s="1">
        <v>0</v>
      </c>
      <c r="E63" s="1">
        <v>48</v>
      </c>
      <c r="F63" s="1">
        <v>0</v>
      </c>
      <c r="G63" s="1">
        <v>0</v>
      </c>
      <c r="H63" s="1">
        <v>0</v>
      </c>
    </row>
    <row r="64" spans="1:8">
      <c r="A64" s="1" t="s">
        <v>62</v>
      </c>
      <c r="B64" s="2">
        <v>0.08293077349662781</v>
      </c>
      <c r="C64" s="1">
        <v>40</v>
      </c>
      <c r="D64" s="1">
        <v>0</v>
      </c>
      <c r="E64" s="1">
        <v>40</v>
      </c>
      <c r="F64" s="1">
        <v>0</v>
      </c>
      <c r="G64" s="1">
        <v>0</v>
      </c>
      <c r="H64" s="1">
        <v>0</v>
      </c>
    </row>
    <row r="65" spans="1:8">
      <c r="A65" s="1" t="s">
        <v>63</v>
      </c>
      <c r="B65" s="2">
        <v>0.07878423482179642</v>
      </c>
      <c r="C65" s="1">
        <v>38</v>
      </c>
      <c r="D65" s="1">
        <v>0</v>
      </c>
      <c r="E65" s="1">
        <v>38</v>
      </c>
      <c r="F65" s="1">
        <v>0</v>
      </c>
      <c r="G65" s="1">
        <v>0</v>
      </c>
      <c r="H65" s="1">
        <v>0</v>
      </c>
    </row>
    <row r="66" spans="1:8">
      <c r="A66" s="1" t="s">
        <v>64</v>
      </c>
      <c r="B66" s="2">
        <v>0.07463769614696503</v>
      </c>
      <c r="C66" s="1">
        <v>36</v>
      </c>
      <c r="D66" s="1">
        <v>0</v>
      </c>
      <c r="E66" s="1">
        <v>36</v>
      </c>
      <c r="F66" s="1">
        <v>0</v>
      </c>
      <c r="G66" s="1">
        <v>0</v>
      </c>
      <c r="H66" s="1">
        <v>0</v>
      </c>
    </row>
    <row r="67" spans="1:8">
      <c r="A67" s="1" t="s">
        <v>65</v>
      </c>
      <c r="B67" s="2">
        <v>0.07463769614696503</v>
      </c>
      <c r="C67" s="1">
        <v>36</v>
      </c>
      <c r="D67" s="1">
        <v>0</v>
      </c>
      <c r="E67" s="1">
        <v>36</v>
      </c>
      <c r="F67" s="1">
        <v>0</v>
      </c>
      <c r="G67" s="1">
        <v>0</v>
      </c>
      <c r="H67" s="1">
        <v>0</v>
      </c>
    </row>
    <row r="68" spans="1:8">
      <c r="A68" s="1" t="s">
        <v>66</v>
      </c>
      <c r="B68" s="2">
        <v>0.07049115747213364</v>
      </c>
      <c r="C68" s="1">
        <v>34</v>
      </c>
      <c r="D68" s="1">
        <v>0</v>
      </c>
      <c r="E68" s="1">
        <v>34</v>
      </c>
      <c r="F68" s="1">
        <v>0</v>
      </c>
      <c r="G68" s="1">
        <v>0</v>
      </c>
      <c r="H68" s="1">
        <v>0</v>
      </c>
    </row>
    <row r="69" spans="1:8">
      <c r="A69" s="1" t="s">
        <v>67</v>
      </c>
      <c r="B69" s="2">
        <v>0.06634461879730225</v>
      </c>
      <c r="C69" s="1">
        <v>32</v>
      </c>
      <c r="D69" s="1">
        <v>0</v>
      </c>
      <c r="E69" s="1">
        <v>32</v>
      </c>
      <c r="F69" s="1">
        <v>0</v>
      </c>
      <c r="G69" s="1">
        <v>0</v>
      </c>
      <c r="H69" s="1">
        <v>0</v>
      </c>
    </row>
    <row r="70" spans="1:8">
      <c r="A70" s="1" t="s">
        <v>68</v>
      </c>
      <c r="B70" s="2">
        <v>0.06219808012247086</v>
      </c>
      <c r="C70" s="1">
        <v>30</v>
      </c>
      <c r="D70" s="1">
        <v>0</v>
      </c>
      <c r="E70" s="1">
        <v>30</v>
      </c>
      <c r="F70" s="1">
        <v>0</v>
      </c>
      <c r="G70" s="1">
        <v>0</v>
      </c>
      <c r="H70" s="1">
        <v>0</v>
      </c>
    </row>
    <row r="71" spans="1:8">
      <c r="A71" s="1" t="s">
        <v>69</v>
      </c>
      <c r="B71" s="2">
        <v>0.06219808012247086</v>
      </c>
      <c r="C71" s="1">
        <v>30</v>
      </c>
      <c r="D71" s="1">
        <v>0</v>
      </c>
      <c r="E71" s="1">
        <v>30</v>
      </c>
      <c r="F71" s="1">
        <v>0</v>
      </c>
      <c r="G71" s="1">
        <v>0</v>
      </c>
      <c r="H71" s="1">
        <v>0</v>
      </c>
    </row>
    <row r="72" spans="1:8">
      <c r="A72" s="1" t="s">
        <v>70</v>
      </c>
      <c r="B72" s="2">
        <v>0.05805154144763947</v>
      </c>
      <c r="C72" s="1">
        <v>28</v>
      </c>
      <c r="D72" s="1">
        <v>0</v>
      </c>
      <c r="E72" s="1">
        <v>28</v>
      </c>
      <c r="F72" s="1">
        <v>0</v>
      </c>
      <c r="G72" s="1">
        <v>0</v>
      </c>
      <c r="H72" s="1">
        <v>0</v>
      </c>
    </row>
    <row r="73" spans="1:8">
      <c r="A73" s="1" t="s">
        <v>71</v>
      </c>
      <c r="B73" s="2">
        <v>0.05805154144763947</v>
      </c>
      <c r="C73" s="1">
        <v>28</v>
      </c>
      <c r="D73" s="1">
        <v>0</v>
      </c>
      <c r="E73" s="1">
        <v>28</v>
      </c>
      <c r="F73" s="1">
        <v>0</v>
      </c>
      <c r="G73" s="1">
        <v>0</v>
      </c>
      <c r="H73" s="1">
        <v>0</v>
      </c>
    </row>
    <row r="74" spans="1:8">
      <c r="A74" s="1" t="s">
        <v>72</v>
      </c>
      <c r="B74" s="2">
        <v>0.05390500277280808</v>
      </c>
      <c r="C74" s="1">
        <v>26</v>
      </c>
      <c r="D74" s="1">
        <v>0</v>
      </c>
      <c r="E74" s="1">
        <v>26</v>
      </c>
      <c r="F74" s="1">
        <v>0</v>
      </c>
      <c r="G74" s="1">
        <v>0</v>
      </c>
      <c r="H74" s="1">
        <v>0</v>
      </c>
    </row>
    <row r="75" spans="1:8">
      <c r="A75" s="1" t="s">
        <v>73</v>
      </c>
      <c r="B75" s="2">
        <v>0.03731884807348251</v>
      </c>
      <c r="C75" s="1">
        <v>18</v>
      </c>
      <c r="D75" s="1">
        <v>0</v>
      </c>
      <c r="E75" s="1">
        <v>18</v>
      </c>
      <c r="F75" s="1">
        <v>0</v>
      </c>
      <c r="G75" s="1">
        <v>0</v>
      </c>
      <c r="H75" s="1">
        <v>0</v>
      </c>
    </row>
    <row r="76" spans="1:8">
      <c r="A76" s="1" t="s">
        <v>74</v>
      </c>
      <c r="B76" s="2">
        <v>0.01658615469932556</v>
      </c>
      <c r="C76" s="1">
        <v>8</v>
      </c>
      <c r="D76" s="1">
        <v>0</v>
      </c>
      <c r="E76" s="1">
        <v>8</v>
      </c>
      <c r="F76" s="1">
        <v>0</v>
      </c>
      <c r="G76" s="1">
        <v>0</v>
      </c>
      <c r="H76" s="1">
        <v>0</v>
      </c>
    </row>
    <row r="77" spans="1:8">
      <c r="A77" s="1" t="s">
        <v>75</v>
      </c>
      <c r="B77" s="2">
        <v>0.01658615469932556</v>
      </c>
      <c r="C77" s="1">
        <v>8</v>
      </c>
      <c r="D77" s="1">
        <v>0</v>
      </c>
      <c r="E77" s="1">
        <v>8</v>
      </c>
      <c r="F77" s="1">
        <v>0</v>
      </c>
      <c r="G77" s="1">
        <v>0</v>
      </c>
      <c r="H77" s="1">
        <v>0</v>
      </c>
    </row>
    <row r="78" spans="1:8">
      <c r="A78" s="1" t="s">
        <v>76</v>
      </c>
      <c r="B78" s="2">
        <v>0.008293077349662781</v>
      </c>
      <c r="C78" s="1">
        <v>4</v>
      </c>
      <c r="D78" s="1">
        <v>0</v>
      </c>
      <c r="E78" s="1">
        <v>4</v>
      </c>
      <c r="F78" s="1">
        <v>0</v>
      </c>
      <c r="G78" s="1">
        <v>0</v>
      </c>
      <c r="H78" s="1">
        <v>0</v>
      </c>
    </row>
    <row r="79" spans="1:8">
      <c r="A79" s="1" t="s">
        <v>77</v>
      </c>
      <c r="B79" s="2">
        <v>0.008293077349662781</v>
      </c>
      <c r="C79" s="1">
        <v>4</v>
      </c>
      <c r="D79" s="1">
        <v>0</v>
      </c>
      <c r="E79" s="1">
        <v>4</v>
      </c>
      <c r="F79" s="1">
        <v>0</v>
      </c>
      <c r="G79" s="1">
        <v>0</v>
      </c>
      <c r="H79" s="1">
        <v>0</v>
      </c>
    </row>
    <row r="80" spans="1:8">
      <c r="A80" t="s">
        <v>79</v>
      </c>
      <c r="B80">
        <f>SUBTOTAL(109,[flash_percent])</f>
        <v>0</v>
      </c>
      <c r="C80">
        <f>SUBTOTAL(109,[flash])</f>
        <v>0</v>
      </c>
      <c r="D80">
        <f>SUBTOTAL(109,[ram])</f>
        <v>0</v>
      </c>
      <c r="E80">
        <f>SUBTOTAL(109,[Code])</f>
        <v>0</v>
      </c>
      <c r="F80">
        <f>SUBTOTAL(109,[RO_data])</f>
        <v>0</v>
      </c>
      <c r="G80">
        <f>SUBTOTAL(109,[RW_data])</f>
        <v>0</v>
      </c>
      <c r="H80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2026-05-23T06:33:56Z</dcterms:created>
  <dcterms:modified xsi:type="dcterms:W3CDTF">2026-05-23T06:33:56Z</dcterms:modified>
</cp:coreProperties>
</file>